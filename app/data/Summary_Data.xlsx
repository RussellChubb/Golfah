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</sheets>
  <definedNames>
    <definedName function="false" hidden="true" localSheetId="0" name="_xlnm._FilterDatabase" vbProcedure="false">Summary!$A$1:$I$34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<sst xmlns="http://schemas.openxmlformats.org/spreadsheetml/2006/main" count="185" uniqueCount="40">
  <si>
    <t xml:space="preserve">Date</t>
  </si>
  <si>
    <t xml:space="preserve">Course</t>
  </si>
  <si>
    <t xml:space="preserve">Player</t>
  </si>
  <si>
    <t xml:space="preserve">Round</t>
  </si>
  <si>
    <t xml:space="preserve">Type</t>
  </si>
  <si>
    <t xml:space="preserve">Score</t>
  </si>
  <si>
    <t xml:space="preserve">Par for Course</t>
  </si>
  <si>
    <t xml:space="preserve">Plus / Minus</t>
  </si>
  <si>
    <t xml:space="preserve">Comment</t>
  </si>
  <si>
    <t xml:space="preserve">Golf Warehouse</t>
  </si>
  <si>
    <t xml:space="preserve">Russell</t>
  </si>
  <si>
    <t xml:space="preserve">Front-9</t>
  </si>
  <si>
    <t xml:space="preserve">Ambros</t>
  </si>
  <si>
    <t xml:space="preserve">Solo</t>
  </si>
  <si>
    <t xml:space="preserve">Hayden</t>
  </si>
  <si>
    <t xml:space="preserve">Really nice score from Hayden, tidy work</t>
  </si>
  <si>
    <t xml:space="preserve">Mahunga</t>
  </si>
  <si>
    <t xml:space="preserve">Full-18</t>
  </si>
  <si>
    <t xml:space="preserve">Holy fuck lol, I think this was my first time playing 18 hahaha</t>
  </si>
  <si>
    <t xml:space="preserve">Back-9</t>
  </si>
  <si>
    <t xml:space="preserve">The front nine was so shit, but my back nine was so awesome lol</t>
  </si>
  <si>
    <t xml:space="preserve">Is this my best score yet? - (Technically the back 9 of the 18 on 4/10/2025 was better +13)</t>
  </si>
  <si>
    <t xml:space="preserve">Is this my best score from 18? Chips from rough needed work + approach pitches</t>
  </si>
  <si>
    <t xml:space="preserve">Not bad from Hayden, beats his last one</t>
  </si>
  <si>
    <t xml:space="preserve">Masterton Golf Course</t>
  </si>
  <si>
    <t xml:space="preserve">I played better at Mahunga, first time playing Masterton back 9, not bad. </t>
  </si>
  <si>
    <t xml:space="preserve">Olivia</t>
  </si>
  <si>
    <t xml:space="preserve">Was great having Olivia out</t>
  </si>
  <si>
    <t xml:space="preserve">Tidy Round!</t>
  </si>
  <si>
    <t xml:space="preserve">William</t>
  </si>
  <si>
    <t xml:space="preserve">Trentham Golf Course</t>
  </si>
  <si>
    <t xml:space="preserve">Tohe</t>
  </si>
  <si>
    <t xml:space="preserve">Bro’s so cracked</t>
  </si>
  <si>
    <t xml:space="preserve">This is the start of very honest golf. No Gimme’s, no Mulligans no breakfast balls or kick outs Wasn’t really trying here, too pissed off lol</t>
  </si>
  <si>
    <t xml:space="preserve">Had like 3 pars but messed it up later in the round</t>
  </si>
  <si>
    <t xml:space="preserve">Interesting one, no blow-ups, but couldn’t find many pars, or bogies, was mostly a diet of doubles.</t>
  </si>
  <si>
    <t xml:space="preserve">Hayden’s best round thus far, excellent play from him</t>
  </si>
  <si>
    <t xml:space="preserve">Waimarie Golf Course</t>
  </si>
  <si>
    <t xml:space="preserve">Great playing with Fletcher! – First ever South Island course</t>
  </si>
  <si>
    <t xml:space="preserve">Not sure about this score? I feel like I would have remembered if I had my lowest?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</si>
</sst>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m/yyyy"/>
    <numFmt numFmtId="166" formatCode="dd/mm/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" activePane="bottomLeft" state="frozen"/>
      <selection pane="topLeft" activeCell="A1" activeCellId="0" sqref="A1"/>
      <selection pane="bottomLeft" activeCell="I40" activeCellId="0" sqref="I4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21.14"/>
    <col collapsed="false" customWidth="true" hidden="false" outlineLevel="0" max="7" min="7" style="1" width="14.14"/>
    <col collapsed="false" customWidth="true" hidden="false" outlineLevel="0" max="8" min="8" style="1" width="12.71"/>
    <col collapsed="false" customWidth="true" hidden="false" outlineLevel="0" max="9" min="9" style="1" width="113.8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n">
        <v>45787</v>
      </c>
      <c r="B2" s="1" t="s">
        <v>9</v>
      </c>
      <c r="C2" s="1" t="s">
        <v>10</v>
      </c>
      <c r="D2" s="1" t="s">
        <v>11</v>
      </c>
      <c r="E2" s="1" t="s">
        <v>12</v>
      </c>
      <c r="F2" s="1" t="n">
        <v>38</v>
      </c>
      <c r="G2" s="1" t="n">
        <v>30</v>
      </c>
      <c r="H2" s="1" t="n">
        <f aca="false">SUM(F2-G2)</f>
        <v>8</v>
      </c>
    </row>
    <row r="3" customFormat="false" ht="15" hidden="false" customHeight="false" outlineLevel="0" collapsed="false">
      <c r="A3" s="3" t="n">
        <v>45836</v>
      </c>
      <c r="B3" s="1" t="s">
        <v>9</v>
      </c>
      <c r="C3" s="1" t="s">
        <v>10</v>
      </c>
      <c r="D3" s="1" t="s">
        <v>11</v>
      </c>
      <c r="E3" s="1" t="s">
        <v>13</v>
      </c>
      <c r="F3" s="1" t="n">
        <v>54</v>
      </c>
      <c r="G3" s="1" t="n">
        <v>30</v>
      </c>
      <c r="H3" s="1" t="n">
        <f aca="false">SUM(F3-G3)</f>
        <v>24</v>
      </c>
    </row>
    <row r="4" customFormat="false" ht="15" hidden="false" customHeight="false" outlineLevel="0" collapsed="false">
      <c r="A4" s="3" t="n">
        <v>45836</v>
      </c>
      <c r="B4" s="1" t="s">
        <v>9</v>
      </c>
      <c r="C4" s="1" t="s">
        <v>14</v>
      </c>
      <c r="D4" s="1" t="s">
        <v>11</v>
      </c>
      <c r="E4" s="1" t="s">
        <v>13</v>
      </c>
      <c r="F4" s="1" t="n">
        <v>54</v>
      </c>
      <c r="G4" s="1" t="n">
        <v>30</v>
      </c>
      <c r="H4" s="1" t="n">
        <f aca="false">SUM(F4-G4)</f>
        <v>24</v>
      </c>
    </row>
    <row r="5" customFormat="false" ht="15" hidden="false" customHeight="false" outlineLevel="0" collapsed="false">
      <c r="A5" s="3" t="n">
        <v>45857</v>
      </c>
      <c r="B5" s="1" t="s">
        <v>9</v>
      </c>
      <c r="C5" s="1" t="s">
        <v>10</v>
      </c>
      <c r="D5" s="1" t="s">
        <v>11</v>
      </c>
      <c r="E5" s="1" t="s">
        <v>13</v>
      </c>
      <c r="F5" s="1" t="n">
        <v>53</v>
      </c>
      <c r="G5" s="1" t="n">
        <v>30</v>
      </c>
      <c r="H5" s="1" t="n">
        <f aca="false">SUM(F5-G5)</f>
        <v>23</v>
      </c>
    </row>
    <row r="6" customFormat="false" ht="15" hidden="false" customHeight="false" outlineLevel="0" collapsed="false">
      <c r="A6" s="3" t="n">
        <v>45857</v>
      </c>
      <c r="B6" s="1" t="s">
        <v>9</v>
      </c>
      <c r="C6" s="1" t="s">
        <v>14</v>
      </c>
      <c r="D6" s="1" t="s">
        <v>11</v>
      </c>
      <c r="E6" s="1" t="s">
        <v>13</v>
      </c>
      <c r="F6" s="1" t="n">
        <v>43</v>
      </c>
      <c r="G6" s="1" t="n">
        <v>30</v>
      </c>
      <c r="H6" s="1" t="n">
        <f aca="false">SUM(F6-G6)</f>
        <v>13</v>
      </c>
      <c r="I6" s="1" t="s">
        <v>15</v>
      </c>
    </row>
    <row r="7" customFormat="false" ht="15" hidden="false" customHeight="false" outlineLevel="0" collapsed="false">
      <c r="A7" s="3" t="n">
        <v>45864</v>
      </c>
      <c r="B7" s="1" t="s">
        <v>16</v>
      </c>
      <c r="C7" s="1" t="s">
        <v>10</v>
      </c>
      <c r="D7" s="1" t="s">
        <v>17</v>
      </c>
      <c r="E7" s="1" t="s">
        <v>13</v>
      </c>
      <c r="F7" s="1" t="n">
        <v>140</v>
      </c>
      <c r="G7" s="1" t="n">
        <v>72</v>
      </c>
      <c r="H7" s="1" t="n">
        <f aca="false">SUM(F7-G7)</f>
        <v>68</v>
      </c>
      <c r="I7" s="1" t="s">
        <v>18</v>
      </c>
    </row>
    <row r="8" customFormat="false" ht="15" hidden="false" customHeight="false" outlineLevel="0" collapsed="false">
      <c r="A8" s="3" t="n">
        <v>45864</v>
      </c>
      <c r="B8" s="1" t="s">
        <v>16</v>
      </c>
      <c r="C8" s="1" t="s">
        <v>14</v>
      </c>
      <c r="D8" s="1" t="s">
        <v>17</v>
      </c>
      <c r="E8" s="1" t="s">
        <v>13</v>
      </c>
      <c r="F8" s="1" t="n">
        <v>120</v>
      </c>
      <c r="G8" s="1" t="n">
        <v>72</v>
      </c>
      <c r="H8" s="1" t="n">
        <f aca="false">SUM(F8-G8)</f>
        <v>48</v>
      </c>
    </row>
    <row r="9" customFormat="false" ht="15" hidden="false" customHeight="false" outlineLevel="0" collapsed="false">
      <c r="A9" s="3" t="n">
        <v>45910</v>
      </c>
      <c r="B9" s="1" t="s">
        <v>16</v>
      </c>
      <c r="C9" s="1" t="s">
        <v>10</v>
      </c>
      <c r="D9" s="1" t="s">
        <v>11</v>
      </c>
      <c r="E9" s="1" t="s">
        <v>13</v>
      </c>
      <c r="F9" s="1" t="n">
        <v>57</v>
      </c>
      <c r="G9" s="1" t="n">
        <v>30</v>
      </c>
      <c r="H9" s="1" t="n">
        <f aca="false">SUM(F9-G9)</f>
        <v>27</v>
      </c>
    </row>
    <row r="10" customFormat="false" ht="15" hidden="false" customHeight="false" outlineLevel="0" collapsed="false">
      <c r="A10" s="3" t="n">
        <v>45912</v>
      </c>
      <c r="B10" s="1" t="s">
        <v>16</v>
      </c>
      <c r="C10" s="1" t="s">
        <v>10</v>
      </c>
      <c r="D10" s="1" t="s">
        <v>19</v>
      </c>
      <c r="E10" s="1" t="s">
        <v>13</v>
      </c>
      <c r="F10" s="1" t="n">
        <v>68</v>
      </c>
      <c r="G10" s="1" t="n">
        <v>37</v>
      </c>
      <c r="H10" s="1" t="n">
        <f aca="false">SUM(F10-G10)</f>
        <v>31</v>
      </c>
    </row>
    <row r="11" customFormat="false" ht="15" hidden="false" customHeight="false" outlineLevel="0" collapsed="false">
      <c r="A11" s="3" t="n">
        <v>45913</v>
      </c>
      <c r="B11" s="1" t="s">
        <v>16</v>
      </c>
      <c r="C11" s="1" t="s">
        <v>10</v>
      </c>
      <c r="D11" s="1" t="s">
        <v>11</v>
      </c>
      <c r="E11" s="1" t="s">
        <v>13</v>
      </c>
      <c r="F11" s="1" t="n">
        <v>58</v>
      </c>
      <c r="G11" s="1" t="n">
        <v>30</v>
      </c>
      <c r="H11" s="1" t="n">
        <f aca="false">SUM(F11-G11)</f>
        <v>28</v>
      </c>
    </row>
    <row r="12" customFormat="false" ht="15" hidden="false" customHeight="false" outlineLevel="0" collapsed="false">
      <c r="A12" s="3" t="n">
        <v>45934</v>
      </c>
      <c r="B12" s="1" t="s">
        <v>16</v>
      </c>
      <c r="C12" s="1" t="s">
        <v>10</v>
      </c>
      <c r="D12" s="1" t="s">
        <v>17</v>
      </c>
      <c r="E12" s="1" t="s">
        <v>13</v>
      </c>
      <c r="F12" s="1" t="n">
        <v>122</v>
      </c>
      <c r="G12" s="1" t="n">
        <v>72</v>
      </c>
      <c r="H12" s="1" t="n">
        <f aca="false">SUM(F12-G12)</f>
        <v>50</v>
      </c>
      <c r="I12" s="1" t="s">
        <v>20</v>
      </c>
    </row>
    <row r="13" customFormat="false" ht="15" hidden="false" customHeight="false" outlineLevel="0" collapsed="false">
      <c r="A13" s="3" t="n">
        <v>45942</v>
      </c>
      <c r="B13" s="1" t="s">
        <v>16</v>
      </c>
      <c r="C13" s="1" t="s">
        <v>10</v>
      </c>
      <c r="D13" s="1" t="s">
        <v>11</v>
      </c>
      <c r="E13" s="1" t="s">
        <v>13</v>
      </c>
      <c r="F13" s="1" t="n">
        <v>59</v>
      </c>
      <c r="G13" s="1" t="n">
        <v>30</v>
      </c>
      <c r="H13" s="1" t="n">
        <f aca="false">SUM(F13-G13)</f>
        <v>29</v>
      </c>
    </row>
    <row r="14" customFormat="false" ht="15" hidden="false" customHeight="false" outlineLevel="0" collapsed="false">
      <c r="A14" s="3" t="n">
        <v>45948</v>
      </c>
      <c r="B14" s="1" t="s">
        <v>16</v>
      </c>
      <c r="C14" s="1" t="s">
        <v>10</v>
      </c>
      <c r="D14" s="1" t="s">
        <v>11</v>
      </c>
      <c r="E14" s="1" t="s">
        <v>13</v>
      </c>
      <c r="F14" s="1" t="n">
        <v>49</v>
      </c>
      <c r="G14" s="1" t="n">
        <v>30</v>
      </c>
      <c r="H14" s="1" t="n">
        <f aca="false">SUM(F14-G14)</f>
        <v>19</v>
      </c>
      <c r="I14" s="1" t="s">
        <v>21</v>
      </c>
    </row>
    <row r="15" customFormat="false" ht="15" hidden="false" customHeight="false" outlineLevel="0" collapsed="false">
      <c r="A15" s="3" t="n">
        <v>45955</v>
      </c>
      <c r="B15" s="1" t="s">
        <v>16</v>
      </c>
      <c r="C15" s="1" t="s">
        <v>10</v>
      </c>
      <c r="D15" s="1" t="s">
        <v>17</v>
      </c>
      <c r="E15" s="1" t="s">
        <v>13</v>
      </c>
      <c r="F15" s="1" t="n">
        <v>104</v>
      </c>
      <c r="G15" s="1" t="n">
        <v>72</v>
      </c>
      <c r="H15" s="1" t="n">
        <f aca="false">SUM(F15-G15)</f>
        <v>32</v>
      </c>
      <c r="I15" s="1" t="s">
        <v>22</v>
      </c>
    </row>
    <row r="16" customFormat="false" ht="15" hidden="false" customHeight="false" outlineLevel="0" collapsed="false">
      <c r="A16" s="3" t="n">
        <v>45955</v>
      </c>
      <c r="B16" s="1" t="s">
        <v>16</v>
      </c>
      <c r="C16" s="1" t="s">
        <v>14</v>
      </c>
      <c r="D16" s="1" t="s">
        <v>17</v>
      </c>
      <c r="E16" s="1" t="s">
        <v>13</v>
      </c>
      <c r="F16" s="1" t="n">
        <v>121</v>
      </c>
      <c r="G16" s="1" t="n">
        <v>72</v>
      </c>
      <c r="H16" s="1" t="n">
        <f aca="false">SUM(F16-G16)</f>
        <v>49</v>
      </c>
      <c r="I16" s="1" t="s">
        <v>23</v>
      </c>
    </row>
    <row r="17" customFormat="false" ht="15" hidden="false" customHeight="false" outlineLevel="0" collapsed="false">
      <c r="A17" s="3" t="n">
        <v>45956</v>
      </c>
      <c r="B17" s="1" t="s">
        <v>24</v>
      </c>
      <c r="C17" s="1" t="s">
        <v>10</v>
      </c>
      <c r="D17" s="1" t="s">
        <v>17</v>
      </c>
      <c r="E17" s="1" t="s">
        <v>13</v>
      </c>
      <c r="F17" s="1" t="n">
        <v>115</v>
      </c>
      <c r="G17" s="1" t="n">
        <v>71</v>
      </c>
      <c r="H17" s="1" t="n">
        <f aca="false">SUM(F17-G17)</f>
        <v>44</v>
      </c>
      <c r="I17" s="1" t="s">
        <v>25</v>
      </c>
    </row>
    <row r="18" customFormat="false" ht="15" hidden="false" customHeight="false" outlineLevel="0" collapsed="false">
      <c r="A18" s="3" t="n">
        <v>45956</v>
      </c>
      <c r="B18" s="1" t="s">
        <v>24</v>
      </c>
      <c r="C18" s="1" t="s">
        <v>14</v>
      </c>
      <c r="D18" s="1" t="s">
        <v>17</v>
      </c>
      <c r="E18" s="1" t="s">
        <v>13</v>
      </c>
      <c r="F18" s="1" t="n">
        <v>129</v>
      </c>
      <c r="G18" s="1" t="n">
        <v>71</v>
      </c>
      <c r="H18" s="1" t="n">
        <f aca="false">SUM(F18-G18)</f>
        <v>58</v>
      </c>
    </row>
    <row r="19" customFormat="false" ht="15" hidden="false" customHeight="false" outlineLevel="0" collapsed="false">
      <c r="A19" s="3" t="n">
        <v>45956</v>
      </c>
      <c r="B19" s="1" t="s">
        <v>24</v>
      </c>
      <c r="C19" s="1" t="s">
        <v>26</v>
      </c>
      <c r="D19" s="1" t="s">
        <v>11</v>
      </c>
      <c r="E19" s="1" t="s">
        <v>13</v>
      </c>
      <c r="F19" s="1" t="n">
        <v>82</v>
      </c>
      <c r="G19" s="1" t="n">
        <v>36</v>
      </c>
      <c r="H19" s="1" t="n">
        <f aca="false">SUM(F19-G19)</f>
        <v>46</v>
      </c>
      <c r="I19" s="1" t="s">
        <v>27</v>
      </c>
    </row>
    <row r="20" customFormat="false" ht="15" hidden="false" customHeight="false" outlineLevel="0" collapsed="false">
      <c r="A20" s="4" t="n">
        <v>45968</v>
      </c>
      <c r="B20" s="1" t="s">
        <v>9</v>
      </c>
      <c r="C20" s="1" t="s">
        <v>10</v>
      </c>
      <c r="D20" s="1" t="s">
        <v>11</v>
      </c>
      <c r="E20" s="1" t="s">
        <v>12</v>
      </c>
      <c r="F20" s="1" t="n">
        <v>38</v>
      </c>
      <c r="G20" s="1" t="n">
        <v>29</v>
      </c>
      <c r="H20" s="1" t="n">
        <f aca="false">SUM(F20-G20)</f>
        <v>9</v>
      </c>
    </row>
    <row r="21" customFormat="false" ht="15" hidden="false" customHeight="false" outlineLevel="0" collapsed="false">
      <c r="A21" s="4" t="n">
        <v>45977</v>
      </c>
      <c r="B21" s="1" t="s">
        <v>16</v>
      </c>
      <c r="C21" s="1" t="s">
        <v>10</v>
      </c>
      <c r="D21" s="1" t="s">
        <v>17</v>
      </c>
      <c r="E21" s="1" t="s">
        <v>13</v>
      </c>
      <c r="F21" s="1" t="n">
        <v>101</v>
      </c>
      <c r="G21" s="1" t="n">
        <v>72</v>
      </c>
      <c r="H21" s="1" t="n">
        <f aca="false">SUM(F21-G21)</f>
        <v>29</v>
      </c>
    </row>
    <row r="22" customFormat="false" ht="15" hidden="false" customHeight="false" outlineLevel="0" collapsed="false">
      <c r="A22" s="4" t="n">
        <v>45977</v>
      </c>
      <c r="B22" s="1" t="s">
        <v>16</v>
      </c>
      <c r="C22" s="1" t="s">
        <v>14</v>
      </c>
      <c r="D22" s="1" t="s">
        <v>17</v>
      </c>
      <c r="E22" s="1" t="s">
        <v>13</v>
      </c>
      <c r="F22" s="1" t="n">
        <v>122</v>
      </c>
      <c r="G22" s="1" t="n">
        <v>72</v>
      </c>
      <c r="H22" s="1" t="n">
        <f aca="false">SUM(F22-G22)</f>
        <v>50</v>
      </c>
    </row>
    <row r="23" customFormat="false" ht="15" hidden="false" customHeight="false" outlineLevel="0" collapsed="false">
      <c r="A23" s="4" t="n">
        <v>45979</v>
      </c>
      <c r="B23" s="1" t="s">
        <v>16</v>
      </c>
      <c r="C23" s="1" t="s">
        <v>10</v>
      </c>
      <c r="D23" s="1" t="s">
        <v>19</v>
      </c>
      <c r="E23" s="1" t="s">
        <v>13</v>
      </c>
      <c r="F23" s="1" t="n">
        <f aca="false">5+5+4+5+8+5+6+5+7</f>
        <v>50</v>
      </c>
      <c r="G23" s="1" t="n">
        <v>37</v>
      </c>
      <c r="H23" s="1" t="n">
        <f aca="false">SUM(F23-G23)</f>
        <v>13</v>
      </c>
    </row>
    <row r="24" customFormat="false" ht="15" hidden="false" customHeight="false" outlineLevel="0" collapsed="false">
      <c r="A24" s="4" t="n">
        <v>45984</v>
      </c>
      <c r="B24" s="1" t="s">
        <v>16</v>
      </c>
      <c r="C24" s="1" t="s">
        <v>10</v>
      </c>
      <c r="D24" s="1" t="s">
        <v>11</v>
      </c>
      <c r="E24" s="1" t="s">
        <v>13</v>
      </c>
      <c r="F24" s="1" t="n">
        <v>48</v>
      </c>
      <c r="G24" s="1" t="n">
        <v>30</v>
      </c>
      <c r="H24" s="1" t="n">
        <f aca="false">SUM(F24-G24)</f>
        <v>18</v>
      </c>
    </row>
    <row r="25" customFormat="false" ht="15" hidden="false" customHeight="false" outlineLevel="0" collapsed="false">
      <c r="A25" s="4" t="n">
        <v>46002</v>
      </c>
      <c r="B25" s="1" t="s">
        <v>16</v>
      </c>
      <c r="C25" s="1" t="s">
        <v>10</v>
      </c>
      <c r="D25" s="1" t="s">
        <v>19</v>
      </c>
      <c r="E25" s="1" t="s">
        <v>13</v>
      </c>
      <c r="F25" s="1" t="n">
        <v>46</v>
      </c>
      <c r="G25" s="1" t="n">
        <v>37</v>
      </c>
      <c r="H25" s="1" t="n">
        <f aca="false">SUM(F25-G25)</f>
        <v>9</v>
      </c>
      <c r="I25" s="1" t="s">
        <v>28</v>
      </c>
    </row>
    <row r="26" customFormat="false" ht="15" hidden="false" customHeight="false" outlineLevel="0" collapsed="false">
      <c r="A26" s="4" t="n">
        <v>46002</v>
      </c>
      <c r="B26" s="1" t="s">
        <v>16</v>
      </c>
      <c r="C26" s="1" t="s">
        <v>10</v>
      </c>
      <c r="D26" s="1" t="s">
        <v>19</v>
      </c>
      <c r="E26" s="1" t="s">
        <v>13</v>
      </c>
      <c r="F26" s="1" t="n">
        <f aca="false">G26+H26</f>
        <v>52</v>
      </c>
      <c r="G26" s="1" t="n">
        <v>37</v>
      </c>
      <c r="H26" s="1" t="n">
        <v>15</v>
      </c>
    </row>
    <row r="27" customFormat="false" ht="15" hidden="false" customHeight="false" outlineLevel="0" collapsed="false">
      <c r="A27" s="4" t="n">
        <v>46039</v>
      </c>
      <c r="B27" s="1" t="s">
        <v>9</v>
      </c>
      <c r="C27" s="1" t="s">
        <v>10</v>
      </c>
      <c r="D27" s="1" t="s">
        <v>11</v>
      </c>
      <c r="E27" s="1" t="s">
        <v>13</v>
      </c>
      <c r="F27" s="1" t="n">
        <f aca="false">4+5+4+8+4+5+5+4+4</f>
        <v>43</v>
      </c>
      <c r="G27" s="1" t="n">
        <v>29</v>
      </c>
      <c r="H27" s="1" t="n">
        <v>16</v>
      </c>
    </row>
    <row r="28" customFormat="false" ht="15" hidden="false" customHeight="false" outlineLevel="0" collapsed="false">
      <c r="A28" s="4" t="n">
        <v>46039</v>
      </c>
      <c r="B28" s="1" t="s">
        <v>9</v>
      </c>
      <c r="C28" s="1" t="s">
        <v>29</v>
      </c>
      <c r="D28" s="1" t="s">
        <v>11</v>
      </c>
      <c r="E28" s="1" t="s">
        <v>13</v>
      </c>
      <c r="F28" s="1" t="n">
        <f aca="false">6+6+8+5+6+7+6+5+5</f>
        <v>54</v>
      </c>
      <c r="G28" s="1" t="n">
        <v>29</v>
      </c>
      <c r="H28" s="1" t="n">
        <v>17</v>
      </c>
    </row>
    <row r="29" customFormat="false" ht="15" hidden="false" customHeight="false" outlineLevel="0" collapsed="false">
      <c r="A29" s="4" t="n">
        <v>46039</v>
      </c>
      <c r="B29" s="1" t="s">
        <v>9</v>
      </c>
      <c r="C29" s="1" t="s">
        <v>26</v>
      </c>
      <c r="D29" s="1" t="s">
        <v>11</v>
      </c>
      <c r="E29" s="1" t="s">
        <v>13</v>
      </c>
      <c r="F29" s="1" t="n">
        <f aca="false">8+6+6+6+6+7+5+5+5</f>
        <v>54</v>
      </c>
      <c r="G29" s="1" t="n">
        <v>29</v>
      </c>
      <c r="H29" s="1" t="n">
        <v>18</v>
      </c>
    </row>
    <row r="30" customFormat="false" ht="15" hidden="false" customHeight="false" outlineLevel="0" collapsed="false">
      <c r="A30" s="4" t="n">
        <v>46046</v>
      </c>
      <c r="B30" s="1" t="s">
        <v>30</v>
      </c>
      <c r="C30" s="1" t="s">
        <v>10</v>
      </c>
      <c r="D30" s="1" t="s">
        <v>17</v>
      </c>
      <c r="E30" s="1" t="s">
        <v>13</v>
      </c>
      <c r="F30" s="1" t="n">
        <v>94</v>
      </c>
      <c r="G30" s="1" t="n">
        <v>71</v>
      </c>
      <c r="H30" s="1" t="n">
        <f aca="false">SUM(F30-G30)</f>
        <v>23</v>
      </c>
    </row>
    <row r="31" customFormat="false" ht="15" hidden="false" customHeight="false" outlineLevel="0" collapsed="false">
      <c r="A31" s="4" t="n">
        <v>46046</v>
      </c>
      <c r="B31" s="1" t="s">
        <v>30</v>
      </c>
      <c r="C31" s="1" t="s">
        <v>26</v>
      </c>
      <c r="D31" s="1" t="s">
        <v>17</v>
      </c>
      <c r="E31" s="1" t="s">
        <v>13</v>
      </c>
      <c r="F31" s="1" t="n">
        <v>135</v>
      </c>
      <c r="G31" s="1" t="n">
        <v>71</v>
      </c>
      <c r="H31" s="1" t="n">
        <f aca="false">SUM(F31-G31)</f>
        <v>64</v>
      </c>
    </row>
    <row r="32" customFormat="false" ht="15" hidden="false" customHeight="false" outlineLevel="0" collapsed="false">
      <c r="A32" s="4" t="n">
        <v>46046</v>
      </c>
      <c r="B32" s="1" t="s">
        <v>30</v>
      </c>
      <c r="C32" s="1" t="s">
        <v>14</v>
      </c>
      <c r="D32" s="1" t="s">
        <v>17</v>
      </c>
      <c r="E32" s="1" t="s">
        <v>13</v>
      </c>
      <c r="F32" s="1" t="n">
        <v>116</v>
      </c>
      <c r="G32" s="1" t="n">
        <v>71</v>
      </c>
      <c r="H32" s="1" t="n">
        <f aca="false">SUM(F32-G32)</f>
        <v>45</v>
      </c>
    </row>
    <row r="33" customFormat="false" ht="15" hidden="false" customHeight="false" outlineLevel="0" collapsed="false">
      <c r="A33" s="4" t="n">
        <v>46046</v>
      </c>
      <c r="B33" s="1" t="s">
        <v>30</v>
      </c>
      <c r="C33" s="1" t="s">
        <v>29</v>
      </c>
      <c r="D33" s="1" t="s">
        <v>17</v>
      </c>
      <c r="E33" s="1" t="s">
        <v>13</v>
      </c>
      <c r="F33" s="1" t="n">
        <v>147</v>
      </c>
      <c r="G33" s="1" t="n">
        <v>71</v>
      </c>
      <c r="H33" s="1" t="n">
        <f aca="false">SUM(F33-G33)</f>
        <v>76</v>
      </c>
    </row>
    <row r="34" customFormat="false" ht="15" hidden="false" customHeight="false" outlineLevel="0" collapsed="false">
      <c r="A34" s="4" t="n">
        <v>46046</v>
      </c>
      <c r="B34" s="1" t="s">
        <v>30</v>
      </c>
      <c r="C34" s="1" t="s">
        <v>31</v>
      </c>
      <c r="D34" s="1" t="s">
        <v>17</v>
      </c>
      <c r="E34" s="1" t="s">
        <v>13</v>
      </c>
      <c r="F34" s="1" t="n">
        <v>89</v>
      </c>
      <c r="G34" s="1" t="n">
        <v>71</v>
      </c>
      <c r="H34" s="1" t="n">
        <f aca="false">SUM(F34-G34)</f>
        <v>18</v>
      </c>
      <c r="I34" s="1" t="s">
        <v>32</v>
      </c>
    </row>
    <row r="35" customFormat="false" ht="15" hidden="false" customHeight="false" outlineLevel="0" collapsed="false">
      <c r="A35" s="4" t="n">
        <v>46053</v>
      </c>
      <c r="B35" s="1" t="s">
        <v>16</v>
      </c>
      <c r="C35" s="1" t="s">
        <v>10</v>
      </c>
      <c r="D35" s="1" t="s">
        <v>17</v>
      </c>
      <c r="E35" s="1" t="s">
        <v>13</v>
      </c>
      <c r="F35" s="1" t="n">
        <f aca="false">SUM(5+7+4+4+5+4+6+8+5+5+7+6+5+7+6+6+5+6)</f>
        <v>101</v>
      </c>
      <c r="G35" s="1" t="n">
        <v>71</v>
      </c>
      <c r="H35" s="1" t="n">
        <f aca="false">SUM(F35-G35)</f>
        <v>30</v>
      </c>
      <c r="I35" s="1" t="s">
        <v>33</v>
      </c>
    </row>
    <row r="36" customFormat="false" ht="15" hidden="false" customHeight="false" outlineLevel="0" collapsed="false">
      <c r="A36" s="4" t="n">
        <v>46058</v>
      </c>
      <c r="B36" s="1" t="s">
        <v>16</v>
      </c>
      <c r="C36" s="1" t="s">
        <v>10</v>
      </c>
      <c r="D36" s="1" t="s">
        <v>19</v>
      </c>
      <c r="E36" s="1" t="s">
        <v>13</v>
      </c>
      <c r="F36" s="1" t="n">
        <f aca="false">SUM(37+13)</f>
        <v>50</v>
      </c>
      <c r="G36" s="1" t="n">
        <v>37</v>
      </c>
      <c r="H36" s="1" t="n">
        <f aca="false">SUM(F36-G36)</f>
        <v>13</v>
      </c>
      <c r="I36" s="1" t="s">
        <v>34</v>
      </c>
    </row>
    <row r="37" customFormat="false" ht="15" hidden="false" customHeight="false" outlineLevel="0" collapsed="false">
      <c r="A37" s="4" t="n">
        <v>46060</v>
      </c>
      <c r="B37" s="1" t="s">
        <v>30</v>
      </c>
      <c r="C37" s="1" t="s">
        <v>10</v>
      </c>
      <c r="D37" s="1" t="s">
        <v>17</v>
      </c>
      <c r="E37" s="1" t="s">
        <v>13</v>
      </c>
      <c r="F37" s="1" t="n">
        <f aca="false">SUM(36+15+35+15)</f>
        <v>101</v>
      </c>
      <c r="G37" s="1" t="n">
        <v>71</v>
      </c>
      <c r="H37" s="1" t="n">
        <f aca="false">SUM(F37-G37)</f>
        <v>30</v>
      </c>
      <c r="I37" s="1" t="s">
        <v>35</v>
      </c>
    </row>
    <row r="38" customFormat="false" ht="15" hidden="false" customHeight="false" outlineLevel="0" collapsed="false">
      <c r="A38" s="4" t="n">
        <v>46060</v>
      </c>
      <c r="B38" s="1" t="s">
        <v>30</v>
      </c>
      <c r="C38" s="1" t="s">
        <v>14</v>
      </c>
      <c r="D38" s="1" t="s">
        <v>17</v>
      </c>
      <c r="E38" s="1" t="s">
        <v>13</v>
      </c>
      <c r="F38" s="1" t="n">
        <f aca="false">SUM(16+36+35+15)</f>
        <v>102</v>
      </c>
      <c r="G38" s="1" t="n">
        <v>71</v>
      </c>
      <c r="H38" s="1" t="n">
        <f aca="false">SUM(F38-G38)</f>
        <v>31</v>
      </c>
      <c r="I38" s="1" t="s">
        <v>36</v>
      </c>
    </row>
    <row r="39" customFormat="false" ht="15" hidden="false" customHeight="false" outlineLevel="0" collapsed="false">
      <c r="A39" s="4" t="n">
        <v>45994</v>
      </c>
      <c r="B39" s="1" t="s">
        <v>37</v>
      </c>
      <c r="C39" s="1" t="s">
        <v>10</v>
      </c>
      <c r="D39" s="1" t="s">
        <v>11</v>
      </c>
      <c r="E39" s="1" t="s">
        <v>13</v>
      </c>
      <c r="F39" s="1" t="n">
        <f aca="false">SUM(5+5+7+6+5+7+6+4+8)</f>
        <v>53</v>
      </c>
      <c r="G39" s="1" t="n">
        <v>36</v>
      </c>
      <c r="H39" s="1" t="n">
        <f aca="false">SUM(F39-G39)</f>
        <v>17</v>
      </c>
      <c r="I39" s="1" t="s">
        <v>38</v>
      </c>
    </row>
    <row r="40" customFormat="false" ht="15" hidden="false" customHeight="false" outlineLevel="0" collapsed="false">
      <c r="A40" s="4" t="n">
        <v>46016</v>
      </c>
      <c r="B40" s="1" t="s">
        <v>16</v>
      </c>
      <c r="C40" s="0" t="s">
        <v>10</v>
      </c>
      <c r="D40" s="0" t="s">
        <v>17</v>
      </c>
      <c r="E40" s="0" t="s">
        <v>13</v>
      </c>
      <c r="F40" s="0" t="n">
        <v>87</v>
      </c>
      <c r="G40" s="1" t="n">
        <v>72</v>
      </c>
      <c r="H40" s="1" t="n">
        <f aca="false">SUM(F40-G40)</f>
        <v>15</v>
      </c>
      <c r="I40" s="1" t="s">
        <v>39</v>
      </c>
    </row>
    <row r="41" customFormat="false" ht="15" hidden="false" customHeight="false" outlineLevel="0" collapsed="false">
      <c r="A41" s="4" t="n">
        <v>46016</v>
      </c>
      <c r="B41" s="1" t="s">
        <v>16</v>
      </c>
      <c r="C41" s="0" t="s">
        <v>29</v>
      </c>
      <c r="D41" s="0" t="s">
        <v>17</v>
      </c>
      <c r="E41" s="0" t="s">
        <v>13</v>
      </c>
      <c r="F41" s="0" t="n">
        <v>129</v>
      </c>
      <c r="G41" s="1" t="n">
        <v>72</v>
      </c>
      <c r="H41" s="1" t="n">
        <f aca="false">SUM(F41-G41)</f>
        <v>57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I34">
    <sortState ref="A2:I34">
      <sortCondition ref="A2:A34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e6cf3f80-614d-4939-895c-3d5287c0f245}" enabled="0" method="" siteId="{e6cf3f80-614d-4939-895c-3d5287c0f24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Russell Chubb</dc:creator>
  <dc:description/>
  <dc:language>en-NZ</dc:language>
  <cp:lastModifiedBy/>
  <dcterms:modified xsi:type="dcterms:W3CDTF">2026-02-08T18:32:46Z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