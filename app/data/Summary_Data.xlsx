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meridianenergy-my.sharepoint.com/personal/russell_chubb_meridianenergy_co_nz/Documents/Documents/Programming/Personal/Golfah/app/data/"/>
    </mc:Choice>
  </mc:AlternateContent>
  <xr:revisionPtr revIDLastSave="1" documentId="11_F7847EACDFA24E75F31FD8F26F7BBEA3BE0E790B" xr6:coauthVersionLast="47" xr6:coauthVersionMax="47" xr10:uidLastSave="{4AE0279E-70C2-49D7-84B8-7102833268D1}"/>
  <bookViews>
    <workbookView xWindow="-28920" yWindow="-45" windowWidth="29040" windowHeight="15720" tabRatio="500" xr2:uid="{00000000-000D-0000-FFFF-FFFF00000000}"/>
  </bookViews>
  <sheets>
    <sheet name="Summary" sheetId="1" r:id="rId1"/>
  </sheets>
  <definedNames>
    <definedName name="_xlnm._FilterDatabase" localSheetId="0" hidden="1">Summary!$A$1:$I$35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6" i="1" l="1"/>
  <c r="H36" i="1" s="1"/>
  <c r="H35" i="1"/>
  <c r="H34" i="1"/>
  <c r="H33" i="1"/>
  <c r="H32" i="1"/>
  <c r="H31" i="1"/>
  <c r="F30" i="1"/>
  <c r="F29" i="1"/>
  <c r="F28" i="1"/>
  <c r="F27" i="1"/>
  <c r="H26" i="1"/>
  <c r="H25" i="1"/>
  <c r="F24" i="1"/>
  <c r="H24" i="1" s="1"/>
  <c r="H23" i="1"/>
  <c r="H22" i="1"/>
  <c r="H21" i="1"/>
  <c r="H20" i="1"/>
  <c r="H19" i="1"/>
  <c r="H18" i="1"/>
  <c r="H17" i="1"/>
  <c r="H16" i="1"/>
  <c r="F15" i="1"/>
  <c r="H15" i="1" s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<sst xmlns="http://schemas.openxmlformats.org/spreadsheetml/2006/main" count="161" uniqueCount="36">
  <si>
    <t>Date</t>
  </si>
  <si>
    <t>Course</t>
  </si>
  <si>
    <t>Player</t>
  </si>
  <si>
    <t>Round</t>
  </si>
  <si>
    <t>Type</t>
  </si>
  <si>
    <t>Score</t>
  </si>
  <si>
    <t>Par for Course</t>
  </si>
  <si>
    <t>Plus / Minus</t>
  </si>
  <si>
    <t>Comment</t>
  </si>
  <si>
    <t>Golf Warehouse</t>
  </si>
  <si>
    <t>Russell</t>
  </si>
  <si>
    <t>Front-9</t>
  </si>
  <si>
    <t>Ambros</t>
  </si>
  <si>
    <t>Solo</t>
  </si>
  <si>
    <t>Hayden</t>
  </si>
  <si>
    <t>Really nice score from Hayden, tidy work</t>
  </si>
  <si>
    <t>Mahunga</t>
  </si>
  <si>
    <t>Full-18</t>
  </si>
  <si>
    <t>Holy fuck lol, I think this was my first time playing 18 hahaha</t>
  </si>
  <si>
    <t>Back-9</t>
  </si>
  <si>
    <t>The front nine was so shit, but my back nine was so awesome lol</t>
  </si>
  <si>
    <t>Is this my best score yet? - (Technically the back 9 of the 18 on 4/10/2025 was better +13)</t>
  </si>
  <si>
    <t>Masterton Golf Course</t>
  </si>
  <si>
    <t>Practice</t>
  </si>
  <si>
    <t>Only played 8, adjusted score and par for course to account</t>
  </si>
  <si>
    <t>Is this my best score from 18? Chips from rough needed work + approach pitches</t>
  </si>
  <si>
    <t>Not bad from Hayden, beats his last one</t>
  </si>
  <si>
    <t xml:space="preserve">I played better at Mahunga, first time playing Masterton back 9, not bad. </t>
  </si>
  <si>
    <t>Olivia</t>
  </si>
  <si>
    <t>Was great having Olivia out</t>
  </si>
  <si>
    <t>Tidy Round!</t>
  </si>
  <si>
    <t>William</t>
  </si>
  <si>
    <t>Trentham Golf Course</t>
  </si>
  <si>
    <t>Tohe</t>
  </si>
  <si>
    <t>Bro’s so cracked</t>
  </si>
  <si>
    <t>This is the start of very honest golf. No Gimme’s, no Mulligans no breakfast balls or kick outs Wasn’t really trying here, too pissed off lol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</si>
</sst>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tabSelected="1" topLeftCell="A4" zoomScaleNormal="100" workbookViewId="0">
      <selection activeCell="J7" sqref="J7"/>
    </sheetView>
  </sheetViews>
  <sheetFormatPr defaultColWidth="8.7109375" defaultRowHeight="15" x14ac:dyDescent="0.25"/>
  <cols>
    <col min="1" max="1" width="10.7109375" customWidth="1"/>
    <col min="2" max="2" width="21.140625" customWidth="1"/>
    <col min="7" max="7" width="14.140625" customWidth="1"/>
    <col min="8" max="8" width="12.7109375" customWidth="1"/>
    <col min="9" max="9" width="123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45787</v>
      </c>
      <c r="B2" t="s">
        <v>9</v>
      </c>
      <c r="C2" t="s">
        <v>10</v>
      </c>
      <c r="D2" t="s">
        <v>11</v>
      </c>
      <c r="E2" t="s">
        <v>12</v>
      </c>
      <c r="F2">
        <v>38</v>
      </c>
      <c r="G2">
        <v>30</v>
      </c>
      <c r="H2">
        <f t="shared" ref="H2:H26" si="0">SUM(F2-G2)</f>
        <v>8</v>
      </c>
    </row>
    <row r="3" spans="1:9" x14ac:dyDescent="0.25">
      <c r="A3" s="2">
        <v>45836</v>
      </c>
      <c r="B3" t="s">
        <v>9</v>
      </c>
      <c r="C3" t="s">
        <v>10</v>
      </c>
      <c r="D3" t="s">
        <v>11</v>
      </c>
      <c r="E3" t="s">
        <v>13</v>
      </c>
      <c r="F3">
        <v>54</v>
      </c>
      <c r="G3">
        <v>30</v>
      </c>
      <c r="H3">
        <f t="shared" si="0"/>
        <v>24</v>
      </c>
    </row>
    <row r="4" spans="1:9" x14ac:dyDescent="0.25">
      <c r="A4" s="2">
        <v>45836</v>
      </c>
      <c r="B4" t="s">
        <v>9</v>
      </c>
      <c r="C4" t="s">
        <v>14</v>
      </c>
      <c r="D4" t="s">
        <v>11</v>
      </c>
      <c r="E4" t="s">
        <v>13</v>
      </c>
      <c r="F4">
        <v>54</v>
      </c>
      <c r="G4">
        <v>30</v>
      </c>
      <c r="H4">
        <f t="shared" si="0"/>
        <v>24</v>
      </c>
    </row>
    <row r="5" spans="1:9" x14ac:dyDescent="0.25">
      <c r="A5" s="2">
        <v>45857</v>
      </c>
      <c r="B5" t="s">
        <v>9</v>
      </c>
      <c r="C5" t="s">
        <v>10</v>
      </c>
      <c r="D5" t="s">
        <v>11</v>
      </c>
      <c r="E5" t="s">
        <v>13</v>
      </c>
      <c r="F5">
        <v>53</v>
      </c>
      <c r="G5">
        <v>30</v>
      </c>
      <c r="H5">
        <f t="shared" si="0"/>
        <v>23</v>
      </c>
    </row>
    <row r="6" spans="1:9" x14ac:dyDescent="0.25">
      <c r="A6" s="2">
        <v>45857</v>
      </c>
      <c r="B6" t="s">
        <v>9</v>
      </c>
      <c r="C6" t="s">
        <v>14</v>
      </c>
      <c r="D6" t="s">
        <v>11</v>
      </c>
      <c r="E6" t="s">
        <v>13</v>
      </c>
      <c r="F6">
        <v>43</v>
      </c>
      <c r="G6">
        <v>30</v>
      </c>
      <c r="H6">
        <f t="shared" si="0"/>
        <v>13</v>
      </c>
      <c r="I6" t="s">
        <v>15</v>
      </c>
    </row>
    <row r="7" spans="1:9" x14ac:dyDescent="0.25">
      <c r="A7" s="2">
        <v>45864</v>
      </c>
      <c r="B7" t="s">
        <v>16</v>
      </c>
      <c r="C7" t="s">
        <v>10</v>
      </c>
      <c r="D7" t="s">
        <v>17</v>
      </c>
      <c r="E7" t="s">
        <v>13</v>
      </c>
      <c r="F7">
        <v>140</v>
      </c>
      <c r="G7">
        <v>72</v>
      </c>
      <c r="H7">
        <f t="shared" si="0"/>
        <v>68</v>
      </c>
      <c r="I7" t="s">
        <v>18</v>
      </c>
    </row>
    <row r="8" spans="1:9" x14ac:dyDescent="0.25">
      <c r="A8" s="2">
        <v>45864</v>
      </c>
      <c r="B8" t="s">
        <v>16</v>
      </c>
      <c r="C8" t="s">
        <v>14</v>
      </c>
      <c r="D8" t="s">
        <v>17</v>
      </c>
      <c r="E8" t="s">
        <v>13</v>
      </c>
      <c r="F8">
        <v>120</v>
      </c>
      <c r="G8">
        <v>72</v>
      </c>
      <c r="H8">
        <f t="shared" si="0"/>
        <v>48</v>
      </c>
    </row>
    <row r="9" spans="1:9" x14ac:dyDescent="0.25">
      <c r="A9" s="2">
        <v>45910</v>
      </c>
      <c r="B9" t="s">
        <v>16</v>
      </c>
      <c r="C9" t="s">
        <v>10</v>
      </c>
      <c r="D9" t="s">
        <v>11</v>
      </c>
      <c r="E9" t="s">
        <v>13</v>
      </c>
      <c r="F9">
        <v>57</v>
      </c>
      <c r="G9">
        <v>30</v>
      </c>
      <c r="H9">
        <f t="shared" si="0"/>
        <v>27</v>
      </c>
    </row>
    <row r="10" spans="1:9" x14ac:dyDescent="0.25">
      <c r="A10" s="2">
        <v>45912</v>
      </c>
      <c r="B10" t="s">
        <v>16</v>
      </c>
      <c r="C10" t="s">
        <v>10</v>
      </c>
      <c r="D10" t="s">
        <v>19</v>
      </c>
      <c r="E10" t="s">
        <v>13</v>
      </c>
      <c r="F10">
        <v>68</v>
      </c>
      <c r="G10">
        <v>37</v>
      </c>
      <c r="H10">
        <f t="shared" si="0"/>
        <v>31</v>
      </c>
    </row>
    <row r="11" spans="1:9" x14ac:dyDescent="0.25">
      <c r="A11" s="2">
        <v>45913</v>
      </c>
      <c r="B11" t="s">
        <v>16</v>
      </c>
      <c r="C11" t="s">
        <v>10</v>
      </c>
      <c r="D11" t="s">
        <v>11</v>
      </c>
      <c r="E11" t="s">
        <v>13</v>
      </c>
      <c r="F11">
        <v>58</v>
      </c>
      <c r="G11">
        <v>30</v>
      </c>
      <c r="H11">
        <f t="shared" si="0"/>
        <v>28</v>
      </c>
    </row>
    <row r="12" spans="1:9" x14ac:dyDescent="0.25">
      <c r="A12" s="2">
        <v>45934</v>
      </c>
      <c r="B12" t="s">
        <v>16</v>
      </c>
      <c r="C12" t="s">
        <v>10</v>
      </c>
      <c r="D12" t="s">
        <v>17</v>
      </c>
      <c r="E12" t="s">
        <v>13</v>
      </c>
      <c r="F12">
        <v>122</v>
      </c>
      <c r="G12">
        <v>72</v>
      </c>
      <c r="H12">
        <f t="shared" si="0"/>
        <v>50</v>
      </c>
      <c r="I12" t="s">
        <v>20</v>
      </c>
    </row>
    <row r="13" spans="1:9" x14ac:dyDescent="0.25">
      <c r="A13" s="2">
        <v>45942</v>
      </c>
      <c r="B13" t="s">
        <v>16</v>
      </c>
      <c r="C13" t="s">
        <v>10</v>
      </c>
      <c r="D13" t="s">
        <v>11</v>
      </c>
      <c r="E13" t="s">
        <v>13</v>
      </c>
      <c r="F13">
        <v>59</v>
      </c>
      <c r="G13">
        <v>30</v>
      </c>
      <c r="H13">
        <f t="shared" si="0"/>
        <v>29</v>
      </c>
    </row>
    <row r="14" spans="1:9" x14ac:dyDescent="0.25">
      <c r="A14" s="2">
        <v>45948</v>
      </c>
      <c r="B14" t="s">
        <v>16</v>
      </c>
      <c r="C14" t="s">
        <v>10</v>
      </c>
      <c r="D14" t="s">
        <v>11</v>
      </c>
      <c r="E14" t="s">
        <v>13</v>
      </c>
      <c r="F14">
        <v>49</v>
      </c>
      <c r="G14">
        <v>30</v>
      </c>
      <c r="H14">
        <f t="shared" si="0"/>
        <v>19</v>
      </c>
      <c r="I14" t="s">
        <v>21</v>
      </c>
    </row>
    <row r="15" spans="1:9" x14ac:dyDescent="0.25">
      <c r="A15" s="2">
        <v>45950</v>
      </c>
      <c r="B15" t="s">
        <v>22</v>
      </c>
      <c r="C15" t="s">
        <v>10</v>
      </c>
      <c r="D15" t="s">
        <v>11</v>
      </c>
      <c r="E15" t="s">
        <v>23</v>
      </c>
      <c r="F15">
        <f>SUM(6+6+5+8+7+5+6+6)</f>
        <v>49</v>
      </c>
      <c r="G15">
        <v>32</v>
      </c>
      <c r="H15">
        <f t="shared" si="0"/>
        <v>17</v>
      </c>
      <c r="I15" t="s">
        <v>24</v>
      </c>
    </row>
    <row r="16" spans="1:9" x14ac:dyDescent="0.25">
      <c r="A16" s="2">
        <v>45955</v>
      </c>
      <c r="B16" t="s">
        <v>16</v>
      </c>
      <c r="C16" t="s">
        <v>10</v>
      </c>
      <c r="D16" t="s">
        <v>17</v>
      </c>
      <c r="E16" t="s">
        <v>13</v>
      </c>
      <c r="F16">
        <v>104</v>
      </c>
      <c r="G16">
        <v>72</v>
      </c>
      <c r="H16">
        <f t="shared" si="0"/>
        <v>32</v>
      </c>
      <c r="I16" t="s">
        <v>25</v>
      </c>
    </row>
    <row r="17" spans="1:9" x14ac:dyDescent="0.25">
      <c r="A17" s="2">
        <v>45955</v>
      </c>
      <c r="B17" t="s">
        <v>16</v>
      </c>
      <c r="C17" t="s">
        <v>14</v>
      </c>
      <c r="D17" t="s">
        <v>17</v>
      </c>
      <c r="E17" t="s">
        <v>13</v>
      </c>
      <c r="F17">
        <v>121</v>
      </c>
      <c r="G17">
        <v>72</v>
      </c>
      <c r="H17">
        <f t="shared" si="0"/>
        <v>49</v>
      </c>
      <c r="I17" t="s">
        <v>26</v>
      </c>
    </row>
    <row r="18" spans="1:9" x14ac:dyDescent="0.25">
      <c r="A18" s="2">
        <v>45956</v>
      </c>
      <c r="B18" t="s">
        <v>22</v>
      </c>
      <c r="C18" t="s">
        <v>10</v>
      </c>
      <c r="D18" t="s">
        <v>17</v>
      </c>
      <c r="E18" t="s">
        <v>13</v>
      </c>
      <c r="F18">
        <v>115</v>
      </c>
      <c r="G18">
        <v>71</v>
      </c>
      <c r="H18">
        <f t="shared" si="0"/>
        <v>44</v>
      </c>
      <c r="I18" t="s">
        <v>27</v>
      </c>
    </row>
    <row r="19" spans="1:9" x14ac:dyDescent="0.25">
      <c r="A19" s="2">
        <v>45956</v>
      </c>
      <c r="B19" t="s">
        <v>22</v>
      </c>
      <c r="C19" t="s">
        <v>14</v>
      </c>
      <c r="D19" t="s">
        <v>17</v>
      </c>
      <c r="E19" t="s">
        <v>13</v>
      </c>
      <c r="F19">
        <v>129</v>
      </c>
      <c r="G19">
        <v>71</v>
      </c>
      <c r="H19">
        <f t="shared" si="0"/>
        <v>58</v>
      </c>
    </row>
    <row r="20" spans="1:9" x14ac:dyDescent="0.25">
      <c r="A20" s="2">
        <v>45956</v>
      </c>
      <c r="B20" t="s">
        <v>22</v>
      </c>
      <c r="C20" t="s">
        <v>28</v>
      </c>
      <c r="D20" t="s">
        <v>11</v>
      </c>
      <c r="E20" t="s">
        <v>13</v>
      </c>
      <c r="F20">
        <v>82</v>
      </c>
      <c r="G20">
        <v>36</v>
      </c>
      <c r="H20">
        <f t="shared" si="0"/>
        <v>46</v>
      </c>
      <c r="I20" t="s">
        <v>29</v>
      </c>
    </row>
    <row r="21" spans="1:9" x14ac:dyDescent="0.25">
      <c r="A21" s="3">
        <v>45968</v>
      </c>
      <c r="B21" t="s">
        <v>9</v>
      </c>
      <c r="C21" t="s">
        <v>10</v>
      </c>
      <c r="D21" t="s">
        <v>11</v>
      </c>
      <c r="E21" t="s">
        <v>12</v>
      </c>
      <c r="F21">
        <v>38</v>
      </c>
      <c r="G21">
        <v>29</v>
      </c>
      <c r="H21">
        <f t="shared" si="0"/>
        <v>9</v>
      </c>
    </row>
    <row r="22" spans="1:9" x14ac:dyDescent="0.25">
      <c r="A22" s="3">
        <v>45977</v>
      </c>
      <c r="B22" t="s">
        <v>16</v>
      </c>
      <c r="C22" t="s">
        <v>10</v>
      </c>
      <c r="D22" t="s">
        <v>17</v>
      </c>
      <c r="E22" t="s">
        <v>13</v>
      </c>
      <c r="F22">
        <v>101</v>
      </c>
      <c r="G22">
        <v>72</v>
      </c>
      <c r="H22">
        <f t="shared" si="0"/>
        <v>29</v>
      </c>
    </row>
    <row r="23" spans="1:9" x14ac:dyDescent="0.25">
      <c r="A23" s="3">
        <v>45977</v>
      </c>
      <c r="B23" t="s">
        <v>16</v>
      </c>
      <c r="C23" t="s">
        <v>14</v>
      </c>
      <c r="D23" t="s">
        <v>17</v>
      </c>
      <c r="E23" t="s">
        <v>13</v>
      </c>
      <c r="F23">
        <v>122</v>
      </c>
      <c r="G23">
        <v>72</v>
      </c>
      <c r="H23">
        <f t="shared" si="0"/>
        <v>50</v>
      </c>
    </row>
    <row r="24" spans="1:9" x14ac:dyDescent="0.25">
      <c r="A24" s="3">
        <v>45979</v>
      </c>
      <c r="B24" t="s">
        <v>16</v>
      </c>
      <c r="C24" t="s">
        <v>10</v>
      </c>
      <c r="D24" t="s">
        <v>19</v>
      </c>
      <c r="E24" t="s">
        <v>13</v>
      </c>
      <c r="F24">
        <f>5+5+4+5+8+5+6+5+7</f>
        <v>50</v>
      </c>
      <c r="G24">
        <v>37</v>
      </c>
      <c r="H24">
        <f t="shared" si="0"/>
        <v>13</v>
      </c>
    </row>
    <row r="25" spans="1:9" x14ac:dyDescent="0.25">
      <c r="A25" s="3">
        <v>45984</v>
      </c>
      <c r="B25" t="s">
        <v>16</v>
      </c>
      <c r="C25" t="s">
        <v>10</v>
      </c>
      <c r="D25" t="s">
        <v>11</v>
      </c>
      <c r="E25" t="s">
        <v>13</v>
      </c>
      <c r="F25">
        <v>48</v>
      </c>
      <c r="G25">
        <v>30</v>
      </c>
      <c r="H25">
        <f t="shared" si="0"/>
        <v>18</v>
      </c>
    </row>
    <row r="26" spans="1:9" x14ac:dyDescent="0.25">
      <c r="A26" s="3">
        <v>46002</v>
      </c>
      <c r="B26" t="s">
        <v>16</v>
      </c>
      <c r="C26" t="s">
        <v>10</v>
      </c>
      <c r="D26" t="s">
        <v>19</v>
      </c>
      <c r="E26" t="s">
        <v>13</v>
      </c>
      <c r="F26">
        <v>46</v>
      </c>
      <c r="G26">
        <v>37</v>
      </c>
      <c r="H26">
        <f t="shared" si="0"/>
        <v>9</v>
      </c>
      <c r="I26" t="s">
        <v>30</v>
      </c>
    </row>
    <row r="27" spans="1:9" x14ac:dyDescent="0.25">
      <c r="A27" s="3">
        <v>46002</v>
      </c>
      <c r="B27" t="s">
        <v>16</v>
      </c>
      <c r="C27" t="s">
        <v>10</v>
      </c>
      <c r="D27" t="s">
        <v>19</v>
      </c>
      <c r="E27" t="s">
        <v>13</v>
      </c>
      <c r="F27">
        <f>G27+H27</f>
        <v>52</v>
      </c>
      <c r="G27">
        <v>37</v>
      </c>
      <c r="H27">
        <v>15</v>
      </c>
    </row>
    <row r="28" spans="1:9" x14ac:dyDescent="0.25">
      <c r="A28" s="3">
        <v>46039</v>
      </c>
      <c r="B28" t="s">
        <v>9</v>
      </c>
      <c r="C28" t="s">
        <v>10</v>
      </c>
      <c r="D28" t="s">
        <v>11</v>
      </c>
      <c r="E28" t="s">
        <v>13</v>
      </c>
      <c r="F28">
        <f>4+5+4+8+4+5+5+4+4</f>
        <v>43</v>
      </c>
      <c r="G28">
        <v>29</v>
      </c>
      <c r="H28">
        <v>16</v>
      </c>
    </row>
    <row r="29" spans="1:9" x14ac:dyDescent="0.25">
      <c r="A29" s="3">
        <v>46039</v>
      </c>
      <c r="B29" t="s">
        <v>9</v>
      </c>
      <c r="C29" t="s">
        <v>31</v>
      </c>
      <c r="D29" t="s">
        <v>11</v>
      </c>
      <c r="E29" t="s">
        <v>13</v>
      </c>
      <c r="F29">
        <f>6+6+8+5+6+7+6+5+5</f>
        <v>54</v>
      </c>
      <c r="G29">
        <v>29</v>
      </c>
      <c r="H29">
        <v>17</v>
      </c>
    </row>
    <row r="30" spans="1:9" x14ac:dyDescent="0.25">
      <c r="A30" s="3">
        <v>46039</v>
      </c>
      <c r="B30" t="s">
        <v>9</v>
      </c>
      <c r="C30" t="s">
        <v>28</v>
      </c>
      <c r="D30" t="s">
        <v>11</v>
      </c>
      <c r="E30" t="s">
        <v>13</v>
      </c>
      <c r="F30">
        <f>8+6+6+6+6+7+5+5+5</f>
        <v>54</v>
      </c>
      <c r="G30">
        <v>29</v>
      </c>
      <c r="H30">
        <v>18</v>
      </c>
    </row>
    <row r="31" spans="1:9" x14ac:dyDescent="0.25">
      <c r="A31" s="3">
        <v>46046</v>
      </c>
      <c r="B31" t="s">
        <v>32</v>
      </c>
      <c r="C31" t="s">
        <v>10</v>
      </c>
      <c r="D31" t="s">
        <v>17</v>
      </c>
      <c r="E31" t="s">
        <v>13</v>
      </c>
      <c r="F31">
        <v>94</v>
      </c>
      <c r="G31">
        <v>71</v>
      </c>
      <c r="H31">
        <f t="shared" ref="H31:H36" si="1">SUM(F31-G31)</f>
        <v>23</v>
      </c>
    </row>
    <row r="32" spans="1:9" x14ac:dyDescent="0.25">
      <c r="A32" s="3">
        <v>46046</v>
      </c>
      <c r="B32" t="s">
        <v>32</v>
      </c>
      <c r="C32" t="s">
        <v>28</v>
      </c>
      <c r="D32" t="s">
        <v>17</v>
      </c>
      <c r="E32" t="s">
        <v>13</v>
      </c>
      <c r="F32">
        <v>135</v>
      </c>
      <c r="G32">
        <v>71</v>
      </c>
      <c r="H32">
        <f t="shared" si="1"/>
        <v>64</v>
      </c>
    </row>
    <row r="33" spans="1:9" x14ac:dyDescent="0.25">
      <c r="A33" s="3">
        <v>46046</v>
      </c>
      <c r="B33" t="s">
        <v>32</v>
      </c>
      <c r="C33" t="s">
        <v>14</v>
      </c>
      <c r="D33" t="s">
        <v>17</v>
      </c>
      <c r="E33" t="s">
        <v>13</v>
      </c>
      <c r="F33">
        <v>116</v>
      </c>
      <c r="G33">
        <v>71</v>
      </c>
      <c r="H33">
        <f t="shared" si="1"/>
        <v>45</v>
      </c>
    </row>
    <row r="34" spans="1:9" x14ac:dyDescent="0.25">
      <c r="A34" s="3">
        <v>46046</v>
      </c>
      <c r="B34" t="s">
        <v>32</v>
      </c>
      <c r="C34" t="s">
        <v>31</v>
      </c>
      <c r="D34" t="s">
        <v>17</v>
      </c>
      <c r="E34" t="s">
        <v>13</v>
      </c>
      <c r="F34">
        <v>147</v>
      </c>
      <c r="G34">
        <v>71</v>
      </c>
      <c r="H34">
        <f t="shared" si="1"/>
        <v>76</v>
      </c>
    </row>
    <row r="35" spans="1:9" x14ac:dyDescent="0.25">
      <c r="A35" s="3">
        <v>46046</v>
      </c>
      <c r="B35" t="s">
        <v>32</v>
      </c>
      <c r="C35" t="s">
        <v>33</v>
      </c>
      <c r="D35" t="s">
        <v>17</v>
      </c>
      <c r="E35" t="s">
        <v>13</v>
      </c>
      <c r="F35">
        <v>89</v>
      </c>
      <c r="G35">
        <v>71</v>
      </c>
      <c r="H35">
        <f t="shared" si="1"/>
        <v>18</v>
      </c>
      <c r="I35" t="s">
        <v>34</v>
      </c>
    </row>
    <row r="36" spans="1:9" x14ac:dyDescent="0.25">
      <c r="A36" s="3">
        <v>46053</v>
      </c>
      <c r="B36" t="s">
        <v>16</v>
      </c>
      <c r="C36" t="s">
        <v>10</v>
      </c>
      <c r="D36" t="s">
        <v>17</v>
      </c>
      <c r="E36" t="s">
        <v>13</v>
      </c>
      <c r="F36">
        <f>SUM(5+7+4+4+5+4+6+8+5+5+7+6+5+7+6+6+5+6)</f>
        <v>101</v>
      </c>
      <c r="G36">
        <v>71</v>
      </c>
      <c r="H36">
        <f t="shared" si="1"/>
        <v>30</v>
      </c>
      <c r="I36" t="s">
        <v>35</v>
      </c>
    </row>
  </sheetData>
  <autoFilter ref="A1:I35" xr:uid="{00000000-0009-0000-0000-000000000000}">
    <sortState xmlns:xlrd2="http://schemas.microsoft.com/office/spreadsheetml/2017/richdata2" ref="A2:I35">
      <sortCondition ref="A2:A35"/>
    </sortState>
  </autoFilter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Russell Chubb</dc:creator>
  <dc:description/>
  <cp:lastModifiedBy>Russell Chubb</cp:lastModifiedBy>
  <cp:revision>8</cp:revision>
  <dcterms:created xsi:type="dcterms:W3CDTF">2015-06-05T18:17:20Z</dcterms:created>
  <dcterms:modified xsi:type="dcterms:W3CDTF">2026-02-03T19:02:46Z</dcterms:modified>
  <dc:language>en-NZ</dc:language>
</cp:coreProperties>
</file>